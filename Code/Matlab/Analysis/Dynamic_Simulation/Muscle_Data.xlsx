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str\Documents\GitHub\Quad\Code\Matlab\Analysis\Dynamic_Simulation\"/>
    </mc:Choice>
  </mc:AlternateContent>
  <xr:revisionPtr revIDLastSave="0" documentId="13_ncr:1_{7C3801DF-7138-4DEB-A103-F97A046E4506}" xr6:coauthVersionLast="46" xr6:coauthVersionMax="46" xr10:uidLastSave="{00000000-0000-0000-0000-000000000000}"/>
  <bookViews>
    <workbookView xWindow="10755" yWindow="2775" windowWidth="12825" windowHeight="12165" xr2:uid="{999E1B3B-F109-4E43-8C1D-5C150D6805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" i="1" l="1"/>
  <c r="P10" i="1"/>
  <c r="P3" i="1"/>
  <c r="P4" i="1"/>
  <c r="P5" i="1"/>
  <c r="P6" i="1"/>
  <c r="P11" i="1"/>
  <c r="P7" i="1"/>
  <c r="P8" i="1"/>
  <c r="P9" i="1"/>
</calcChain>
</file>

<file path=xl/sharedStrings.xml><?xml version="1.0" encoding="utf-8"?>
<sst xmlns="http://schemas.openxmlformats.org/spreadsheetml/2006/main" count="50" uniqueCount="34">
  <si>
    <t>Muscle Name</t>
  </si>
  <si>
    <t>Extensor or Flexor</t>
  </si>
  <si>
    <t>Mono/Bi-articular</t>
  </si>
  <si>
    <t>Ba Hip Ext</t>
  </si>
  <si>
    <t>Ma Hip Ext</t>
  </si>
  <si>
    <t>Ba Hip Flx</t>
  </si>
  <si>
    <t>Ma Hip Flx</t>
  </si>
  <si>
    <t>Ba Ankle Flx</t>
  </si>
  <si>
    <t xml:space="preserve">Ma Knee Ext </t>
  </si>
  <si>
    <t>Ma Knee Flx</t>
  </si>
  <si>
    <t>Ma Ankle Ext</t>
  </si>
  <si>
    <t>Ma Ankle Flx</t>
  </si>
  <si>
    <t>Ext</t>
  </si>
  <si>
    <t>Flx</t>
  </si>
  <si>
    <t>Mono</t>
  </si>
  <si>
    <t>Bi</t>
  </si>
  <si>
    <t>Resting Length (m)</t>
  </si>
  <si>
    <t>First Point (m from origin)</t>
  </si>
  <si>
    <t>Second Point (m from origin)</t>
  </si>
  <si>
    <t>Third Point (m from origin)</t>
  </si>
  <si>
    <t>X_1</t>
  </si>
  <si>
    <t>Y_1</t>
  </si>
  <si>
    <t>Z_1</t>
  </si>
  <si>
    <t>X_2</t>
  </si>
  <si>
    <t>Y_2</t>
  </si>
  <si>
    <t>Z_2</t>
  </si>
  <si>
    <t>X_3</t>
  </si>
  <si>
    <t>Y_3</t>
  </si>
  <si>
    <t>Z_3</t>
  </si>
  <si>
    <t>Joint_1</t>
  </si>
  <si>
    <t>Joint_2</t>
  </si>
  <si>
    <t>Joint_3</t>
  </si>
  <si>
    <t>Ma Hip Add</t>
  </si>
  <si>
    <t>Ma Hip Abd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</si>
</sst>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8D057-9905-4E8D-B3F8-C044FC33D5F2}">
  <dimension ref="A1:P13"/>
  <sheetViews>
    <sheetView tabSelected="1" workbookViewId="0">
      <selection activeCell="B12" sqref="B12"/>
    </sheetView>
  </sheetViews>
  <sheetFormatPr defaultRowHeight="15" x14ac:dyDescent="0.25"/>
  <cols>
    <col min="1" max="1" width="13.140625" bestFit="1" customWidth="1"/>
    <col min="2" max="2" width="17.28515625" bestFit="1" customWidth="1"/>
    <col min="3" max="3" width="16.85546875" bestFit="1" customWidth="1"/>
    <col min="4" max="4" width="9" bestFit="1" customWidth="1"/>
    <col min="5" max="5" width="9.7109375" bestFit="1" customWidth="1"/>
    <col min="6" max="6" width="10" bestFit="1" customWidth="1"/>
    <col min="7" max="7" width="9" bestFit="1" customWidth="1"/>
    <col min="8" max="9" width="9.7109375" bestFit="1" customWidth="1"/>
    <col min="10" max="10" width="9" bestFit="1" customWidth="1"/>
    <col min="11" max="11" width="9.7109375" bestFit="1" customWidth="1"/>
    <col min="12" max="12" width="9" bestFit="1" customWidth="1"/>
    <col min="13" max="15" width="7.28515625" bestFit="1" customWidth="1"/>
    <col min="16" max="16" width="17.85546875" bestFit="1" customWidth="1"/>
  </cols>
  <sheetData>
    <row r="1" spans="1:16" x14ac:dyDescent="0.25">
      <c r="D1" s="1" t="s">
        <v>17</v>
      </c>
      <c r="E1" s="1"/>
      <c r="F1" s="1"/>
      <c r="G1" s="1" t="s">
        <v>18</v>
      </c>
      <c r="H1" s="1"/>
      <c r="I1" s="1"/>
      <c r="J1" s="1" t="s">
        <v>19</v>
      </c>
      <c r="K1" s="1"/>
      <c r="L1" s="1"/>
      <c r="O1" s="2"/>
    </row>
    <row r="2" spans="1:16" x14ac:dyDescent="0.25">
      <c r="A2" t="s">
        <v>0</v>
      </c>
      <c r="B2" t="s">
        <v>1</v>
      </c>
      <c r="C2" t="s">
        <v>2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16</v>
      </c>
    </row>
    <row r="3" spans="1:16" x14ac:dyDescent="0.25">
      <c r="A3" t="s">
        <v>4</v>
      </c>
      <c r="B3" t="s">
        <v>12</v>
      </c>
      <c r="C3" t="s">
        <v>14</v>
      </c>
      <c r="D3">
        <v>-0.38890000000000002</v>
      </c>
      <c r="E3">
        <v>1.11E-2</v>
      </c>
      <c r="F3">
        <v>-1.67E-2</v>
      </c>
      <c r="G3">
        <v>-8.4909999999999999E-2</v>
      </c>
      <c r="H3">
        <v>1.11E-2</v>
      </c>
      <c r="I3">
        <v>-1.67E-2</v>
      </c>
      <c r="J3">
        <v>-6.3499999999999997E-3</v>
      </c>
      <c r="K3">
        <v>6.3499999999999997E-3</v>
      </c>
      <c r="L3">
        <v>0</v>
      </c>
      <c r="M3">
        <v>0</v>
      </c>
      <c r="N3">
        <v>0</v>
      </c>
      <c r="O3">
        <v>1</v>
      </c>
      <c r="P3">
        <f>SQRT((G3-D3)^2+(H3+E3)^2+(I3+F3)^2)+SQRT((J3-G3)^2+(K3+H3)^2+(L3+I3)^2)</f>
        <v>0.38881327881410749</v>
      </c>
    </row>
    <row r="4" spans="1:16" x14ac:dyDescent="0.25">
      <c r="A4" t="s">
        <v>6</v>
      </c>
      <c r="B4" t="s">
        <v>13</v>
      </c>
      <c r="C4" t="s">
        <v>14</v>
      </c>
      <c r="D4">
        <v>-0.38890000000000002</v>
      </c>
      <c r="E4">
        <v>2.8575E-2</v>
      </c>
      <c r="F4">
        <v>-1.6669E-2</v>
      </c>
      <c r="G4">
        <v>-8.8900000000000007E-2</v>
      </c>
      <c r="H4">
        <v>2.8573999999999999E-2</v>
      </c>
      <c r="I4">
        <v>-1.6669E-2</v>
      </c>
      <c r="J4">
        <v>8.4060000000000003E-3</v>
      </c>
      <c r="K4">
        <v>-6.3499999999999997E-3</v>
      </c>
      <c r="L4">
        <v>0</v>
      </c>
      <c r="M4">
        <v>0</v>
      </c>
      <c r="N4">
        <v>0</v>
      </c>
      <c r="O4">
        <v>1</v>
      </c>
      <c r="P4">
        <f>SQRT((G4-D4)^2+(H4+E4)^2+(I4+F4)^2)+SQRT((J4-G4)^2+(K4+H4)^2+(L4+I4)^2)</f>
        <v>0.40840306795131104</v>
      </c>
    </row>
    <row r="5" spans="1:16" x14ac:dyDescent="0.25">
      <c r="A5" t="s">
        <v>8</v>
      </c>
      <c r="B5" t="s">
        <v>12</v>
      </c>
      <c r="C5" t="s">
        <v>14</v>
      </c>
      <c r="D5">
        <v>-4.8259999999999997E-2</v>
      </c>
      <c r="E5">
        <v>-2.1590000000000002E-2</v>
      </c>
      <c r="F5">
        <v>5.0075000000000001E-2</v>
      </c>
      <c r="G5">
        <v>0.26194499999999998</v>
      </c>
      <c r="H5">
        <v>-1.5875E-2</v>
      </c>
      <c r="I5">
        <v>5.0201999999999997E-2</v>
      </c>
      <c r="J5">
        <v>0.27860000000000001</v>
      </c>
      <c r="K5">
        <v>1.7765E-2</v>
      </c>
      <c r="L5">
        <v>5.0201999999999997E-2</v>
      </c>
      <c r="M5">
        <v>1</v>
      </c>
      <c r="N5">
        <v>1</v>
      </c>
      <c r="O5">
        <v>2</v>
      </c>
      <c r="P5">
        <f>SQRT((G5-D5)^2+(H5+E5)^2+(I5+F5)^2)+SQRT((J5-G5)^2+(K5+H5)^2+(L5+I5)^2)</f>
        <v>0.4299493620499848</v>
      </c>
    </row>
    <row r="6" spans="1:16" x14ac:dyDescent="0.25">
      <c r="A6" t="s">
        <v>9</v>
      </c>
      <c r="B6" t="s">
        <v>13</v>
      </c>
      <c r="C6" t="s">
        <v>14</v>
      </c>
      <c r="D6">
        <v>-4.8259999999999997E-2</v>
      </c>
      <c r="E6">
        <v>2.1590000000000002E-2</v>
      </c>
      <c r="F6">
        <v>5.0075000000000001E-2</v>
      </c>
      <c r="G6">
        <v>0.26194499999999998</v>
      </c>
      <c r="H6">
        <v>2.2225000000000002E-2</v>
      </c>
      <c r="I6">
        <v>5.0201999999999997E-2</v>
      </c>
      <c r="J6">
        <v>0.275343</v>
      </c>
      <c r="K6">
        <v>-1.7066000000000001E-2</v>
      </c>
      <c r="L6">
        <v>5.0201999999999997E-2</v>
      </c>
      <c r="M6">
        <v>1</v>
      </c>
      <c r="N6">
        <v>1</v>
      </c>
      <c r="O6">
        <v>2</v>
      </c>
      <c r="P6">
        <f>SQRT((G6-D6)^2+(H6+E6)^2+(I6+F6)^2)+SQRT((J6-G6)^2+(K6+H6)^2+(L6+I6)^2)</f>
        <v>0.43036655864928147</v>
      </c>
    </row>
    <row r="7" spans="1:16" x14ac:dyDescent="0.25">
      <c r="A7" t="s">
        <v>10</v>
      </c>
      <c r="B7" t="s">
        <v>12</v>
      </c>
      <c r="C7" t="s">
        <v>14</v>
      </c>
      <c r="D7">
        <v>0.296205</v>
      </c>
      <c r="E7">
        <v>-1.7066000000000001E-2</v>
      </c>
      <c r="F7">
        <v>5.0201999999999997E-2</v>
      </c>
      <c r="G7">
        <v>0.50823399999999996</v>
      </c>
      <c r="H7">
        <v>-1.1828E-2</v>
      </c>
      <c r="I7">
        <v>5.0265999999999998E-2</v>
      </c>
      <c r="J7">
        <v>0.49303900000000001</v>
      </c>
      <c r="K7">
        <v>2.0944999999999998E-2</v>
      </c>
      <c r="L7">
        <v>5.0265999999999998E-2</v>
      </c>
      <c r="M7">
        <v>2</v>
      </c>
      <c r="N7">
        <v>2</v>
      </c>
      <c r="O7">
        <v>3</v>
      </c>
      <c r="P7">
        <f>SQRT((G7-D7)^2+(H7+E7)^2+(I7+F7)^2)+SQRT((J7-G7)^2+(K7+H7)^2+(L7+I7)^2)</f>
        <v>0.33848182495506873</v>
      </c>
    </row>
    <row r="8" spans="1:16" x14ac:dyDescent="0.25">
      <c r="A8" t="s">
        <v>11</v>
      </c>
      <c r="B8" t="s">
        <v>13</v>
      </c>
      <c r="C8" t="s">
        <v>14</v>
      </c>
      <c r="D8">
        <v>0.29591699999999999</v>
      </c>
      <c r="E8">
        <v>1.7066000000000001E-2</v>
      </c>
      <c r="F8">
        <v>5.0201999999999997E-2</v>
      </c>
      <c r="G8">
        <v>0.49911699999999998</v>
      </c>
      <c r="H8">
        <v>1.5875E-2</v>
      </c>
      <c r="I8">
        <v>5.0265999999999998E-2</v>
      </c>
      <c r="J8">
        <v>0.51663800000000004</v>
      </c>
      <c r="K8">
        <v>1.2715000000000001E-2</v>
      </c>
      <c r="L8">
        <v>5.0265999999999998E-2</v>
      </c>
      <c r="M8">
        <v>2</v>
      </c>
      <c r="N8">
        <v>2</v>
      </c>
      <c r="O8">
        <v>3</v>
      </c>
      <c r="P8">
        <f>SQRT((G8-D8)^2+(H8+E8)^2+(I8+F8)^2)+SQRT((J8-G8)^2+(K8+H8)^2+(L8+I8)^2)</f>
        <v>0.33503817437420658</v>
      </c>
    </row>
    <row r="9" spans="1:16" x14ac:dyDescent="0.25">
      <c r="A9" t="s">
        <v>3</v>
      </c>
      <c r="B9" t="s">
        <v>12</v>
      </c>
      <c r="C9" t="s">
        <v>15</v>
      </c>
      <c r="D9">
        <v>-3.8563E-2</v>
      </c>
      <c r="E9">
        <v>6.5709999999999996E-3</v>
      </c>
      <c r="F9">
        <v>4.3947E-2</v>
      </c>
      <c r="G9">
        <v>0.27233499999999999</v>
      </c>
      <c r="H9">
        <v>-9.2189999999999998E-3</v>
      </c>
      <c r="I9">
        <v>5.0158000000000001E-2</v>
      </c>
      <c r="J9">
        <v>0.27860000000000001</v>
      </c>
      <c r="K9">
        <v>1.7765E-2</v>
      </c>
      <c r="L9">
        <v>5.0158000000000001E-2</v>
      </c>
      <c r="M9">
        <v>0</v>
      </c>
      <c r="N9">
        <v>1</v>
      </c>
      <c r="O9">
        <v>2</v>
      </c>
      <c r="P9">
        <f>SQRT((G9-D9)^2+(H9+E9)^2+(I9+F9)^2)+SQRT((J9-G9)^2+(K9+H9)^2+(L9+I9)^2)</f>
        <v>0.42571302901523833</v>
      </c>
    </row>
    <row r="10" spans="1:16" x14ac:dyDescent="0.25">
      <c r="A10" t="s">
        <v>5</v>
      </c>
      <c r="B10" t="s">
        <v>13</v>
      </c>
      <c r="C10" t="s">
        <v>15</v>
      </c>
      <c r="D10">
        <v>3.8563E-2</v>
      </c>
      <c r="E10">
        <v>6.5709999999999996E-3</v>
      </c>
      <c r="F10">
        <v>4.3947E-2</v>
      </c>
      <c r="G10">
        <v>0.26194499999999998</v>
      </c>
      <c r="H10">
        <v>2.2225000000000002E-2</v>
      </c>
      <c r="I10">
        <v>5.0201999999999997E-2</v>
      </c>
      <c r="J10">
        <v>0.275343</v>
      </c>
      <c r="K10">
        <v>-1.7066000000000001E-2</v>
      </c>
      <c r="L10">
        <v>4.7026999999999999E-2</v>
      </c>
      <c r="M10">
        <v>0</v>
      </c>
      <c r="N10">
        <v>1</v>
      </c>
      <c r="O10">
        <v>2</v>
      </c>
      <c r="P10">
        <f>SQRT((G10-D10)^2+(H10+E10)^2+(I10+F10)^2)+SQRT((J10-G10)^2+(K10+H10)^2+(L10+I10)^2)</f>
        <v>0.34239955206255718</v>
      </c>
    </row>
    <row r="11" spans="1:16" x14ac:dyDescent="0.25">
      <c r="A11" t="s">
        <v>7</v>
      </c>
      <c r="B11" t="s">
        <v>13</v>
      </c>
      <c r="C11" t="s">
        <v>15</v>
      </c>
      <c r="D11">
        <v>0.227965</v>
      </c>
      <c r="E11">
        <v>0</v>
      </c>
      <c r="F11">
        <v>5.0075500000000002E-2</v>
      </c>
      <c r="G11">
        <v>0.49911699999999998</v>
      </c>
      <c r="H11">
        <v>1.5875E-2</v>
      </c>
      <c r="I11">
        <v>5.0265999999999998E-2</v>
      </c>
      <c r="J11">
        <v>0.51663800000000004</v>
      </c>
      <c r="K11">
        <v>1.2715000000000001E-2</v>
      </c>
      <c r="L11">
        <v>5.0265999999999998E-2</v>
      </c>
      <c r="M11">
        <v>1</v>
      </c>
      <c r="N11">
        <v>3</v>
      </c>
      <c r="O11">
        <v>3</v>
      </c>
      <c r="P11">
        <f>SQRT((G11-D11)^2+(H11+E11)^2+(I11+F11)^2)+SQRT((J11-G11)^2+(K11+H11)^2+(L11+I11)^2)</f>
        <v>0.39553468623009591</v>
      </c>
    </row>
    <row r="12" spans="1:16" x14ac:dyDescent="0.25">
      <c r="A12" t="s">
        <v>32</v>
      </c>
      <c r="C12" t="s">
        <v>14</v>
      </c>
      <c r="D12">
        <v>3.5209999999999998E-2</v>
      </c>
      <c r="E12">
        <v>0</v>
      </c>
      <c r="F12">
        <v>0</v>
      </c>
      <c r="G12">
        <v>0.22434999999999999</v>
      </c>
      <c r="H12">
        <v>0</v>
      </c>
      <c r="I12">
        <v>3.4009999999999999E-2</v>
      </c>
      <c r="J12">
        <v>0.24123</v>
      </c>
      <c r="K12">
        <v>0</v>
      </c>
      <c r="L12">
        <v>3.4009999999999999E-2</v>
      </c>
      <c r="M12">
        <v>1</v>
      </c>
      <c r="N12">
        <v>2</v>
      </c>
      <c r="O12">
        <v>2</v>
      </c>
      <c r="P12">
        <f>SQRT((G13-D13)^2+(H13+E13)^2+(I13+F13)^2)+SQRT((J13-G13)^2+(K13+H13)^2+(L13+I13)^2)</f>
        <v>0.38346906734938946</v>
      </c>
    </row>
    <row r="13" spans="1:16" x14ac:dyDescent="0.25">
      <c r="A13" t="s">
        <v>33</v>
      </c>
      <c r="C13" t="s">
        <v>14</v>
      </c>
      <c r="D13">
        <v>3.5209999999999998E-2</v>
      </c>
      <c r="E13">
        <v>0</v>
      </c>
      <c r="F13">
        <v>9.6509999999999999E-2</v>
      </c>
      <c r="G13">
        <v>0.22434999999999999</v>
      </c>
      <c r="H13">
        <v>0</v>
      </c>
      <c r="I13">
        <v>6.6390000000000005E-2</v>
      </c>
      <c r="J13">
        <v>0.24123</v>
      </c>
      <c r="K13">
        <v>0</v>
      </c>
      <c r="L13">
        <v>6.6390000000000005E-2</v>
      </c>
      <c r="M13">
        <v>1</v>
      </c>
      <c r="N13">
        <v>2</v>
      </c>
      <c r="O13">
        <v>2</v>
      </c>
    </row>
  </sheetData>
  <mergeCells count="3">
    <mergeCell ref="D1:F1"/>
    <mergeCell ref="G1:I1"/>
    <mergeCell ref="J1:L1"/>
  </mergeCells>
  <dataValidations count="2">
    <dataValidation type="list" allowBlank="1" showInputMessage="1" showErrorMessage="1" sqref="B3:B11" xr:uid="{A9258D5C-1BC9-44B6-9026-07535BA2D0A9}">
      <formula1>"Ext, Flx"</formula1>
    </dataValidation>
    <dataValidation type="list" allowBlank="1" showInputMessage="1" showErrorMessage="1" sqref="C3:C11" xr:uid="{BFD3125F-7AA0-4ADB-A941-68410798869E}">
      <formula1>"Mono, Bi"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miles strubel</dc:creator>
  <cp:lastModifiedBy>miles strubel</cp:lastModifiedBy>
  <dcterms:created xsi:type="dcterms:W3CDTF">2021-05-18T17:36:55Z</dcterms:created>
  <dcterms:modified xsi:type="dcterms:W3CDTF">2021-05-27T02:24:56Z</dcterms:modified>
</cp:coreProperties>
</file>